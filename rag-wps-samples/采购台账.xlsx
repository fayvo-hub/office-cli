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AppData\Local\Kingsoft\WPS Office\12.1.0.28505\office6\"/>
    </mc:Choice>
  </mc:AlternateContent>
  <bookViews>
    <workbookView firstSheet="2" activeTab="2"/>
  </bookViews>
  <sheets>
    <sheet name="采购台账" sheetId="1" r:id="rId1"/>
    <sheet name="价格参考与汇总" sheetId="2" r:id="rId2"/>
    <sheet name="编制说明" sheetId="3" r:id="rId3"/>
    <sheet name="汇总底稿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<sst xmlns="http://schemas.openxmlformats.org/spreadsheetml/2006/main" count="78" uniqueCount="57">
  <si>
    <t>华东供应链 2024 年度采购台账</t>
  </si>
  <si>
    <t>(单位:人民币元;本表由采购部每月 5 日前报送)</t>
  </si>
  <si>
    <t>序号</t>
  </si>
  <si>
    <t>采购日期</t>
  </si>
  <si>
    <t>供应商</t>
  </si>
  <si>
    <t>品名</t>
  </si>
  <si>
    <t>核算</t>
  </si>
  <si>
    <t>价款(元)</t>
  </si>
  <si>
    <t>到货状态</t>
  </si>
  <si>
    <t>单价</t>
  </si>
  <si>
    <t>数量(件)</t>
  </si>
  <si>
    <t>金额</t>
  </si>
  <si>
    <t>税率</t>
  </si>
  <si>
    <t>税额</t>
  </si>
  <si>
    <t>无锡振华轴承厂</t>
  </si>
  <si>
    <t>深沟球轴承 6204</t>
  </si>
  <si>
    <t>上海精工机电</t>
  </si>
  <si>
    <t>角接触球轴承 7005</t>
  </si>
  <si>
    <t>宁波传动部件</t>
  </si>
  <si>
    <t>圆柱滚子轴承 NU205</t>
  </si>
  <si>
    <t>深沟球轴承 6205</t>
  </si>
  <si>
    <t>洛阳轴承集团</t>
  </si>
  <si>
    <t>合  计</t>
  </si>
  <si>
    <t>不合格品退回登记(2024 年一季度)</t>
  </si>
  <si>
    <t>退回日期</t>
  </si>
  <si>
    <t>数量</t>
  </si>
  <si>
    <t>退回原因</t>
  </si>
  <si>
    <t>处理结果</t>
  </si>
  <si>
    <t>外圈滚道划伤</t>
  </si>
  <si>
    <t>退回供应商换货</t>
  </si>
  <si>
    <t>保持架变形</t>
  </si>
  <si>
    <t>供应商补发</t>
  </si>
  <si>
    <t>游隙超差</t>
  </si>
  <si>
    <t>质检复核后让步接收</t>
  </si>
  <si>
    <t>注:退回品由质检部复核处理;本表单价均为不含税到厂价。</t>
  </si>
  <si>
    <t>物料价格参考与年度汇总</t>
  </si>
  <si>
    <t>(数据由供应链中心维护,更新至 2024-03)</t>
  </si>
  <si>
    <t>基准单价(元)</t>
  </si>
  <si>
    <t>备注</t>
  </si>
  <si>
    <t>月均采购 ≥200 件可下浮 3%</t>
  </si>
  <si>
    <t>含税价另加 13%</t>
  </si>
  <si>
    <t>免维护型,货期 20 天</t>
  </si>
  <si>
    <t>进口钢材,货期 30 天</t>
  </si>
  <si>
    <t>2024 年度采购汇总(截至 3 月)</t>
  </si>
  <si>
    <t>品类</t>
  </si>
  <si>
    <t>采购金额(元)</t>
  </si>
  <si>
    <t>金额占比</t>
  </si>
  <si>
    <t>深沟球轴承</t>
  </si>
  <si>
    <t>角接触球轴承</t>
  </si>
  <si>
    <t>圆柱滚子轴承</t>
  </si>
  <si>
    <t>合计</t>
  </si>
  <si>
    <t>注:占比按采购金额合计计算;表内金额均为不含税口径。</t>
  </si>
  <si>
    <t>编制说明</t>
  </si>
  <si>
    <t>一、本台账由采购部依据 ERP 采购订单与到货验收单逐笔登记,月结后与财务对账。</t>
  </si>
  <si>
    <t>二、“核算”组内的金额、税额为公式自动计算,严禁手工改数;税率统一 13%。</t>
  </si>
  <si>
    <t>三、退回登记仅记录检验判定为不合格的批次,处理结果由质检部在 3 个工作日内回填。</t>
  </si>
  <si>
    <t>底稿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</si>
</sst>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yyyy\-mm\-dd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9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"/>
  <sheetViews>
    <sheetView workbookViewId="0">
      <selection activeCell="A1" sqref="A1"/>
    </sheetView>
  </sheetViews>
  <sheetFormatPr defaultColWidth="9" defaultRowHeight="13.5"/>
  <cols>
    <col min="2" max="2" width="11.5"/>
  </cols>
  <sheetData>
    <row r="1" spans="1:10">
      <c r="A1" t="s">
        <v>0</v>
      </c>
    </row>
    <row r="2" spans="1:10">
      <c r="A2" t="s">
        <v>1</v>
      </c>
    </row>
    <row r="4" spans="1:10">
      <c r="A4" t="s">
        <v>2</v>
      </c>
      <c r="B4" t="s">
        <v>3</v>
      </c>
      <c r="C4" t="s">
        <v>4</v>
      </c>
      <c r="D4" t="s">
        <v>5</v>
      </c>
      <c r="E4" t="s">
        <v>6</v>
      </c>
      <c r="G4" t="s">
        <v>7</v>
      </c>
      <c r="J4" t="s">
        <v>8</v>
      </c>
    </row>
    <row r="5" spans="1:10">
      <c r="E5" t="s">
        <v>9</v>
      </c>
      <c r="F5" t="s">
        <v>10</v>
      </c>
      <c r="G5" t="s">
        <v>11</v>
      </c>
      <c r="H5" t="s">
        <v>12</v>
      </c>
      <c r="I5" t="s">
        <v>13</v>
      </c>
    </row>
    <row r="6" spans="1:10">
      <c r="A6">
        <v>1</v>
      </c>
      <c r="B6" s="2">
        <v>45303</v>
      </c>
      <c r="C6" t="s">
        <v>14</v>
      </c>
      <c r="D6" t="s">
        <v>15</v>
      </c>
      <c r="E6">
        <v>11.8</v>
      </c>
      <c r="F6">
        <v>300</v>
      </c>
      <c r="G6">
        <f>ROUND(E6*F6,2)</f>
        <v>3540</v>
      </c>
      <c r="H6" s="3">
        <v>0.13</v>
      </c>
      <c r="I6">
        <f>ROUND(G6*H6,2)</f>
        <v>460.2</v>
      </c>
      <c r="J6" t="str">
        <f>IF(F6&gt;=100,"批量","零散")</f>
        <v>批量</v>
      </c>
    </row>
    <row r="7" spans="1:10">
      <c r="A7">
        <v>2</v>
      </c>
      <c r="B7" s="2">
        <v>45310</v>
      </c>
      <c r="C7" t="s">
        <v>16</v>
      </c>
      <c r="D7" t="s">
        <v>17</v>
      </c>
      <c r="E7">
        <v>45.2</v>
      </c>
      <c r="F7">
        <v>120</v>
      </c>
      <c r="G7">
        <f>ROUND(E7*F7,2)</f>
        <v>5424</v>
      </c>
      <c r="H7" s="3">
        <v>0.13</v>
      </c>
      <c r="I7">
        <f>ROUND(G7*H7,2)</f>
        <v>705.12</v>
      </c>
      <c r="J7" t="str">
        <f>IF(F7&gt;=100,"批量","零散")</f>
        <v>批量</v>
      </c>
    </row>
    <row r="8" spans="1:10">
      <c r="A8">
        <v>3</v>
      </c>
      <c r="B8" s="2">
        <v>45328</v>
      </c>
      <c r="C8" t="s">
        <v>18</v>
      </c>
      <c r="D8" t="s">
        <v>19</v>
      </c>
      <c r="E8">
        <v>52</v>
      </c>
      <c r="F8">
        <v>80</v>
      </c>
      <c r="G8">
        <f>ROUND(E8*F8,2)</f>
        <v>4160</v>
      </c>
      <c r="H8" s="3">
        <v>0.13</v>
      </c>
      <c r="I8">
        <f>ROUND(G8*H8,2)</f>
        <v>540.8</v>
      </c>
      <c r="J8" t="str">
        <f>IF(F8&gt;=100,"批量","零散")</f>
        <v>零散</v>
      </c>
    </row>
    <row r="9" spans="1:10">
      <c r="A9">
        <v>4</v>
      </c>
      <c r="B9" s="2">
        <v>45337</v>
      </c>
      <c r="C9" t="s">
        <v>14</v>
      </c>
      <c r="D9" t="s">
        <v>20</v>
      </c>
      <c r="E9">
        <v>13.6</v>
      </c>
      <c r="F9">
        <v>250</v>
      </c>
      <c r="G9">
        <f>ROUND(E9*F9,2)</f>
        <v>3400</v>
      </c>
      <c r="H9" s="3">
        <v>0.13</v>
      </c>
      <c r="I9">
        <f>ROUND(G9*H9,2)</f>
        <v>442</v>
      </c>
      <c r="J9" t="str">
        <f>IF(F9&gt;=100,"批量","零散")</f>
        <v>批量</v>
      </c>
    </row>
    <row r="10" spans="1:10">
      <c r="A10">
        <v>5</v>
      </c>
      <c r="B10" s="2">
        <v>45350</v>
      </c>
      <c r="C10" t="s">
        <v>21</v>
      </c>
      <c r="D10" t="s">
        <v>15</v>
      </c>
      <c r="E10">
        <v>12.2</v>
      </c>
      <c r="F10">
        <v>200</v>
      </c>
      <c r="G10">
        <f>ROUND(E10*F10,2)</f>
        <v>2440</v>
      </c>
      <c r="H10" s="3">
        <v>0.13</v>
      </c>
      <c r="I10">
        <f>ROUND(G10*H10,2)</f>
        <v>317.2</v>
      </c>
      <c r="J10" t="str">
        <f>IF(F10&gt;=100,"批量","零散")</f>
        <v>批量</v>
      </c>
    </row>
    <row r="11" spans="1:10">
      <c r="A11">
        <v>6</v>
      </c>
      <c r="B11" s="2">
        <v>45356</v>
      </c>
      <c r="C11" t="s">
        <v>16</v>
      </c>
      <c r="D11" t="s">
        <v>17</v>
      </c>
      <c r="E11">
        <v>46</v>
      </c>
      <c r="F11">
        <v>90</v>
      </c>
      <c r="G11">
        <f>ROUND(E11*F11,2)</f>
        <v>4140</v>
      </c>
      <c r="H11" s="3">
        <v>0.13</v>
      </c>
      <c r="I11">
        <f>ROUND(G11*H11,2)</f>
        <v>538.2</v>
      </c>
      <c r="J11" t="str">
        <f>IF(F11&gt;=100,"批量","零散")</f>
        <v>零散</v>
      </c>
    </row>
    <row r="12" spans="1:10">
      <c r="A12">
        <v>7</v>
      </c>
      <c r="B12" s="2">
        <v>45363</v>
      </c>
      <c r="C12" t="s">
        <v>18</v>
      </c>
      <c r="D12" t="s">
        <v>19</v>
      </c>
      <c r="E12">
        <v>53.5</v>
      </c>
      <c r="F12">
        <v>60</v>
      </c>
      <c r="G12">
        <f>ROUND(E12*F12,2)</f>
        <v>3210</v>
      </c>
      <c r="H12" s="3">
        <v>0.13</v>
      </c>
      <c r="I12">
        <f>ROUND(G12*H12,2)</f>
        <v>417.3</v>
      </c>
      <c r="J12" t="str">
        <f>IF(F12&gt;=100,"批量","零散")</f>
        <v>零散</v>
      </c>
    </row>
    <row r="13" spans="1:10">
      <c r="A13">
        <v>8</v>
      </c>
      <c r="B13" s="2">
        <v>45369</v>
      </c>
      <c r="C13" t="s">
        <v>14</v>
      </c>
      <c r="D13" t="s">
        <v>15</v>
      </c>
      <c r="E13">
        <v>12</v>
      </c>
      <c r="F13">
        <v>350</v>
      </c>
      <c r="G13">
        <f>ROUND(E13*F13,2)</f>
        <v>4200</v>
      </c>
      <c r="H13" s="3">
        <v>0.13</v>
      </c>
      <c r="I13">
        <f>ROUND(G13*H13,2)</f>
        <v>546</v>
      </c>
      <c r="J13" t="str">
        <f>IF(F13&gt;=100,"批量","零散")</f>
        <v>批量</v>
      </c>
    </row>
    <row r="14" spans="1:10">
      <c r="A14">
        <v>9</v>
      </c>
      <c r="B14" s="2">
        <v>45376</v>
      </c>
      <c r="C14" t="s">
        <v>21</v>
      </c>
      <c r="D14" t="s">
        <v>20</v>
      </c>
      <c r="E14">
        <v>13.9</v>
      </c>
      <c r="F14">
        <v>180</v>
      </c>
      <c r="G14">
        <f>ROUND(E14*F14,2)</f>
        <v>2502</v>
      </c>
      <c r="H14" s="3">
        <v>0.13</v>
      </c>
      <c r="I14">
        <f>ROUND(G14*H14,2)</f>
        <v>325.26</v>
      </c>
      <c r="J14" t="str">
        <f>IF(F14&gt;=100,"批量","零散")</f>
        <v>批量</v>
      </c>
    </row>
    <row r="15" spans="1:10">
      <c r="A15">
        <v>10</v>
      </c>
      <c r="B15" s="2">
        <v>45384</v>
      </c>
      <c r="C15" t="s">
        <v>16</v>
      </c>
      <c r="D15" t="s">
        <v>17</v>
      </c>
      <c r="E15">
        <v>45.8</v>
      </c>
      <c r="F15">
        <v>110</v>
      </c>
      <c r="G15">
        <f>ROUND(E15*F15,2)</f>
        <v>5038</v>
      </c>
      <c r="H15" s="3">
        <v>0.13</v>
      </c>
      <c r="I15">
        <f>ROUND(G15*H15,2)</f>
        <v>654.94</v>
      </c>
      <c r="J15" t="str">
        <f>IF(F15&gt;=100,"批量","零散")</f>
        <v>批量</v>
      </c>
    </row>
    <row r="16" spans="1:10">
      <c r="A16" t="s">
        <v>22</v>
      </c>
      <c r="G16">
        <f>SUM(G6:G15)</f>
        <v>38054</v>
      </c>
      <c r="I16">
        <f>SUM(I6:I15)</f>
        <v>4947.02</v>
      </c>
    </row>
    <row r="18" spans="1:5">
      <c r="A18" t="s">
        <v>23</v>
      </c>
    </row>
    <row r="19" spans="1:5">
      <c r="A19" t="s">
        <v>24</v>
      </c>
      <c r="B19" t="s">
        <v>5</v>
      </c>
      <c r="C19" t="s">
        <v>25</v>
      </c>
      <c r="D19" t="s">
        <v>26</v>
      </c>
      <c r="E19" t="s">
        <v>27</v>
      </c>
    </row>
    <row r="20" spans="1:5">
      <c r="A20" s="4">
        <v>45311</v>
      </c>
      <c r="B20" t="s">
        <v>15</v>
      </c>
      <c r="C20">
        <v>6</v>
      </c>
      <c r="D20" t="s">
        <v>28</v>
      </c>
      <c r="E20" t="s">
        <v>29</v>
      </c>
    </row>
    <row r="21" spans="1:5">
      <c r="A21" s="4">
        <v>45330</v>
      </c>
      <c r="B21" t="s">
        <v>19</v>
      </c>
      <c r="C21">
        <v>2</v>
      </c>
      <c r="D21" t="s">
        <v>30</v>
      </c>
      <c r="E21" t="s">
        <v>31</v>
      </c>
    </row>
    <row r="22" spans="1:5">
      <c r="A22" s="4">
        <v>45367</v>
      </c>
      <c r="B22" t="s">
        <v>17</v>
      </c>
      <c r="C22">
        <v>4</v>
      </c>
      <c r="D22" t="s">
        <v>32</v>
      </c>
      <c r="E22" t="s">
        <v>33</v>
      </c>
    </row>
    <row r="24" spans="1:5">
      <c r="A24" t="s">
        <v>34</v>
      </c>
    </row>
  </sheetData>
  <mergeCells count="12">
    <mergeCell ref="A1:J1"/>
    <mergeCell ref="A2:J2"/>
    <mergeCell ref="E4:F4"/>
    <mergeCell ref="G4:I4"/>
    <mergeCell ref="A16:F16"/>
    <mergeCell ref="A18:F18"/>
    <mergeCell ref="A24:J24"/>
    <mergeCell ref="A4:A5"/>
    <mergeCell ref="B4:B5"/>
    <mergeCell ref="C4:C5"/>
    <mergeCell ref="D4:D5"/>
    <mergeCell ref="J4:J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workbookViewId="0">
      <selection activeCell="A1" sqref="A1"/>
    </sheetView>
  </sheetViews>
  <sheetFormatPr defaultColWidth="9" defaultRowHeight="13.5" outlineLevelCol="2"/>
  <sheetData>
    <row r="1" spans="1:3">
      <c r="A1" t="s">
        <v>35</v>
      </c>
    </row>
    <row r="2" spans="1:3">
      <c r="A2" t="s">
        <v>36</v>
      </c>
    </row>
    <row r="4" spans="1:3">
      <c r="A4" t="s">
        <v>5</v>
      </c>
      <c r="B4" t="s">
        <v>37</v>
      </c>
      <c r="C4" t="s">
        <v>38</v>
      </c>
    </row>
    <row r="5" spans="1:3">
      <c r="A5" t="s">
        <v>15</v>
      </c>
      <c r="B5">
        <v>11.8</v>
      </c>
      <c r="C5" t="s">
        <v>39</v>
      </c>
    </row>
    <row r="6" spans="1:3">
      <c r="A6" t="s">
        <v>20</v>
      </c>
      <c r="B6">
        <v>13.6</v>
      </c>
      <c r="C6" t="s">
        <v>40</v>
      </c>
    </row>
    <row r="7" spans="1:3">
      <c r="A7" t="s">
        <v>17</v>
      </c>
      <c r="B7">
        <v>45.2</v>
      </c>
      <c r="C7" t="s">
        <v>41</v>
      </c>
    </row>
    <row r="8" spans="1:3">
      <c r="A8" t="s">
        <v>19</v>
      </c>
      <c r="B8">
        <v>52</v>
      </c>
      <c r="C8" t="s">
        <v>42</v>
      </c>
    </row>
    <row r="11" spans="1:3">
      <c r="A11" t="s">
        <v>43</v>
      </c>
    </row>
    <row r="12" spans="1:3">
      <c r="A12" t="s">
        <v>44</v>
      </c>
      <c r="B12" t="s">
        <v>45</v>
      </c>
      <c r="C12" t="s">
        <v>46</v>
      </c>
    </row>
    <row r="13" spans="1:3">
      <c r="A13" t="s">
        <v>47</v>
      </c>
      <c r="B13">
        <f>SUMIF(采购台账!$D$6:$D$15,"深沟球轴承*",采购台账!$G$6:$G$15)</f>
        <v>16082</v>
      </c>
      <c r="C13" s="1">
        <f>B13/$B$16</f>
        <v>0.42260997529826</v>
      </c>
    </row>
    <row r="14" spans="1:3">
      <c r="A14" t="s">
        <v>48</v>
      </c>
      <c r="B14">
        <f>SUMIF(采购台账!$D$6:$D$15,"角接触球轴承*",采购台账!$G$6:$G$15)</f>
        <v>14602</v>
      </c>
      <c r="C14" s="1">
        <f>B14/$B$16</f>
        <v>0.383717874599254</v>
      </c>
    </row>
    <row r="15" spans="1:3">
      <c r="A15" t="s">
        <v>49</v>
      </c>
      <c r="B15">
        <f>SUMIF(采购台账!$D$6:$D$15,"圆柱滚子轴承*",采购台账!$G$6:$G$15)</f>
        <v>7370</v>
      </c>
      <c r="C15" s="1">
        <f>B15/$B$16</f>
        <v>0.193672150102486</v>
      </c>
    </row>
    <row r="16" spans="1:3">
      <c r="A16" t="s">
        <v>50</v>
      </c>
      <c r="B16">
        <f>SUM(B13:B15)</f>
        <v>38054</v>
      </c>
    </row>
    <row r="17" spans="1:1">
      <c r="A17" t="s">
        <v>51</v>
      </c>
    </row>
  </sheetData>
  <mergeCells count="3">
    <mergeCell ref="A1:C1"/>
    <mergeCell ref="A2:C2"/>
    <mergeCell ref="A11:C1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workbookViewId="0">
      <selection activeCell="A1" sqref="A1"/>
    </sheetView>
  </sheetViews>
  <sheetFormatPr defaultColWidth="9" defaultRowHeight="13.5" outlineLevelRow="3" outlineLevelCol="7"/>
  <sheetData>
    <row r="1" spans="1:1">
      <c r="A1" t="s">
        <v>52</v>
      </c>
    </row>
    <row r="2" spans="1:1">
      <c r="A2" t="s">
        <v>53</v>
      </c>
    </row>
    <row r="3" spans="1:1">
      <c r="A3" t="s">
        <v>54</v>
      </c>
    </row>
    <row r="4" spans="1:1">
      <c r="A4" t="s">
        <v>55</v>
      </c>
    </row>
  </sheetData>
  <mergeCells count="3">
    <mergeCell ref="A2:H2"/>
    <mergeCell ref="A3:H3"/>
    <mergeCell ref="A4:H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1" sqref="A1"/>
    </sheetView>
  </sheetViews>
  <sheetFormatPr defaultColWidth="9" defaultRowHeight="13.5" outlineLevelRow="1"/>
  <sheetData>
    <row r="1" spans="1:1">
      <c r="A1" t="s">
        <v>56</v>
      </c>
    </row>
    <row r="2" spans="1:1">
      <c r="A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采购台账</vt:lpstr>
      <vt:lpstr>价格参考与汇总</vt:lpstr>
      <vt:lpstr>编制说明</vt:lpstr>
      <vt:lpstr>汇总底稿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一个人窝在铺头*</cp:lastModifiedBy>
  <dcterms:created xsi:type="dcterms:W3CDTF">2026-09-09T10:02:35Z</dcterms:created>
  <dcterms:modified xsi:type="dcterms:W3CDTF">2026-09-09T10:02:36Z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33F6E2490F794D9CBF41F56DEE865EEF_11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