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台账" sheetId="1" state="visible" r:id="rId1"/>
    <sheet xmlns:r="http://schemas.openxmlformats.org/officeDocument/2006/relationships" name="等级表" sheetId="2" state="visible" r:id="rId2"/>
    <sheet xmlns:r="http://schemas.openxmlformats.org/officeDocument/2006/relationships" name="统计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8" customWidth="1" min="4" max="4"/>
    <col width="11" customWidth="1" min="5" max="5"/>
    <col width="11" customWidth="1" min="6" max="6"/>
    <col width="8" customWidth="1" min="7" max="7"/>
    <col width="10" customWidth="1" min="8" max="8"/>
    <col width="11" customWidth="1" min="9" max="9"/>
    <col width="7" customWidth="1" min="10" max="10"/>
    <col width="11" customWidth="1" min="11" max="11"/>
    <col width="9" customWidth="1" min="12" max="12"/>
  </cols>
  <sheetData>
    <row r="1">
      <c r="A1" s="1" t="inlineStr">
        <is>
          <t>2025 年度备件采购台账</t>
        </is>
      </c>
    </row>
    <row r="2">
      <c r="A2" t="inlineStr">
        <is>
          <t>编制部门: 设备动力部</t>
        </is>
      </c>
    </row>
    <row r="3">
      <c r="A3" s="2" t="inlineStr">
        <is>
          <t>物料编码</t>
        </is>
      </c>
      <c r="B3" s="2" t="inlineStr">
        <is>
          <t>物料名称</t>
        </is>
      </c>
      <c r="C3" s="2" t="inlineStr">
        <is>
          <t>单价(元)</t>
        </is>
      </c>
      <c r="D3" s="2" t="inlineStr">
        <is>
          <t>数量</t>
        </is>
      </c>
      <c r="E3" s="2" t="inlineStr">
        <is>
          <t>金额(元)</t>
        </is>
      </c>
      <c r="F3" s="2" t="inlineStr">
        <is>
          <t>含税金额</t>
        </is>
      </c>
      <c r="G3" s="2" t="inlineStr">
        <is>
          <t>等级</t>
        </is>
      </c>
      <c r="H3" s="2" t="inlineStr">
        <is>
          <t>数量级别</t>
        </is>
      </c>
      <c r="I3" s="2" t="inlineStr">
        <is>
          <t>累计金额</t>
        </is>
      </c>
      <c r="J3" s="2" t="inlineStr">
        <is>
          <t>折扣</t>
        </is>
      </c>
      <c r="K3" s="2" t="inlineStr">
        <is>
          <t>折后金额</t>
        </is>
      </c>
      <c r="L3" s="2" t="inlineStr">
        <is>
          <t>单价级别</t>
        </is>
      </c>
    </row>
    <row r="4">
      <c r="A4" s="3" t="inlineStr">
        <is>
          <t>M-01</t>
        </is>
      </c>
      <c r="B4" s="3" t="inlineStr">
        <is>
          <t>深沟球轴承 6204</t>
        </is>
      </c>
      <c r="C4" s="4" t="n">
        <v>32.5</v>
      </c>
      <c r="D4" s="3" t="n">
        <v>120</v>
      </c>
      <c r="E4" s="3">
        <f>ROUND(C4*D4,2)</f>
        <v/>
      </c>
      <c r="F4" s="3">
        <f>ROUND(E4*1.13,2)</f>
        <v/>
      </c>
      <c r="G4" s="3">
        <f>IFERROR(VLOOKUP(A4,等级表!$A$2:$C$7,2,FALSE),"未登记")</f>
        <v/>
      </c>
      <c r="H4" s="3">
        <f>IFS(D4&gt;=100,"大批量",D4&gt;=50,"中批量",TRUE,"小批量")</f>
        <v/>
      </c>
      <c r="I4" s="3">
        <f>ROUND(SUM($E$4:E4),2)</f>
        <v/>
      </c>
      <c r="J4" s="3">
        <f>IFERROR(INDEX(等级表!$C$2:$C$7,MATCH(A4,等级表!$A$2:$A$7,0)),1)</f>
        <v/>
      </c>
      <c r="K4" s="3">
        <f>ROUND(E4*J4,2)</f>
        <v/>
      </c>
      <c r="L4" s="3">
        <f>IF(C4&gt;=100,"高",IF(C4&gt;=50,"中","低"))</f>
        <v/>
      </c>
    </row>
    <row r="5">
      <c r="A5" s="3" t="inlineStr">
        <is>
          <t>M-02</t>
        </is>
      </c>
      <c r="B5" s="3" t="inlineStr">
        <is>
          <t>不锈钢内六角螺栓 M8</t>
        </is>
      </c>
      <c r="C5" s="4" t="n">
        <v>1.85</v>
      </c>
      <c r="D5" s="3" t="n">
        <v>500</v>
      </c>
      <c r="E5" s="3">
        <f>ROUND(C5*D5,2)</f>
        <v/>
      </c>
      <c r="F5" s="3">
        <f>ROUND(E5*1.13,2)</f>
        <v/>
      </c>
      <c r="G5" s="3">
        <f>IFERROR(VLOOKUP(A5,等级表!$A$2:$C$7,2,FALSE),"未登记")</f>
        <v/>
      </c>
      <c r="H5" s="3">
        <f>IFS(D5&gt;=100,"大批量",D5&gt;=50,"中批量",TRUE,"小批量")</f>
        <v/>
      </c>
      <c r="I5" s="3">
        <f>ROUND(SUM($E$4:E5),2)</f>
        <v/>
      </c>
      <c r="J5" s="3">
        <f>IFERROR(INDEX(等级表!$C$2:$C$7,MATCH(A5,等级表!$A$2:$A$7,0)),1)</f>
        <v/>
      </c>
      <c r="K5" s="3">
        <f>ROUND(E5*J5,2)</f>
        <v/>
      </c>
      <c r="L5" s="3">
        <f>IF(C5&gt;=100,"高",IF(C5&gt;=50,"中","低"))</f>
        <v/>
      </c>
    </row>
    <row r="6">
      <c r="A6" s="3" t="inlineStr">
        <is>
          <t>M-03</t>
        </is>
      </c>
      <c r="B6" s="3" t="inlineStr">
        <is>
          <t>液压油 46#</t>
        </is>
      </c>
      <c r="C6" s="4" t="n">
        <v>28</v>
      </c>
      <c r="D6" s="3" t="n">
        <v>60</v>
      </c>
      <c r="E6" s="3">
        <f>ROUND(C6*D6,2)</f>
        <v/>
      </c>
      <c r="F6" s="3">
        <f>ROUND(E6*1.13,2)</f>
        <v/>
      </c>
      <c r="G6" s="3">
        <f>IFERROR(VLOOKUP(A6,等级表!$A$2:$C$7,2,FALSE),"未登记")</f>
        <v/>
      </c>
      <c r="H6" s="3">
        <f>IFS(D6&gt;=100,"大批量",D6&gt;=50,"中批量",TRUE,"小批量")</f>
        <v/>
      </c>
      <c r="I6" s="3">
        <f>ROUND(SUM($E$4:E6),2)</f>
        <v/>
      </c>
      <c r="J6" s="3">
        <f>IFERROR(INDEX(等级表!$C$2:$C$7,MATCH(A6,等级表!$A$2:$A$7,0)),1)</f>
        <v/>
      </c>
      <c r="K6" s="3">
        <f>ROUND(E6*J6,2)</f>
        <v/>
      </c>
      <c r="L6" s="3">
        <f>IF(C6&gt;=100,"高",IF(C6&gt;=50,"中","低"))</f>
        <v/>
      </c>
    </row>
    <row r="7">
      <c r="A7" s="3" t="inlineStr">
        <is>
          <t>M-04</t>
        </is>
      </c>
      <c r="B7" s="3" t="inlineStr">
        <is>
          <t>同步带 5M-450</t>
        </is>
      </c>
      <c r="C7" s="4" t="n">
        <v>46.2</v>
      </c>
      <c r="D7" s="3" t="n">
        <v>35</v>
      </c>
      <c r="E7" s="3">
        <f>ROUND(C7*D7,2)</f>
        <v/>
      </c>
      <c r="F7" s="3">
        <f>ROUND(E7*1.13,2)</f>
        <v/>
      </c>
      <c r="G7" s="3">
        <f>IFERROR(VLOOKUP(A7,等级表!$A$2:$C$7,2,FALSE),"未登记")</f>
        <v/>
      </c>
      <c r="H7" s="3">
        <f>IFS(D7&gt;=100,"大批量",D7&gt;=50,"中批量",TRUE,"小批量")</f>
        <v/>
      </c>
      <c r="I7" s="3">
        <f>ROUND(SUM($E$4:E7),2)</f>
        <v/>
      </c>
      <c r="J7" s="3">
        <f>IFERROR(INDEX(等级表!$C$2:$C$7,MATCH(A7,等级表!$A$2:$A$7,0)),1)</f>
        <v/>
      </c>
      <c r="K7" s="3">
        <f>ROUND(E7*J7,2)</f>
        <v/>
      </c>
      <c r="L7" s="3">
        <f>IF(C7&gt;=100,"高",IF(C7&gt;=50,"中","低"))</f>
        <v/>
      </c>
    </row>
    <row r="8">
      <c r="A8" s="3" t="inlineStr">
        <is>
          <t>M-05</t>
        </is>
      </c>
      <c r="B8" s="3" t="inlineStr">
        <is>
          <t>气动电磁阀 4V210</t>
        </is>
      </c>
      <c r="C8" s="4" t="n">
        <v>118</v>
      </c>
      <c r="D8" s="3" t="n">
        <v>24</v>
      </c>
      <c r="E8" s="3">
        <f>ROUND(C8*D8,2)</f>
        <v/>
      </c>
      <c r="F8" s="3">
        <f>ROUND(E8*1.13,2)</f>
        <v/>
      </c>
      <c r="G8" s="3">
        <f>IFERROR(VLOOKUP(A8,等级表!$A$2:$C$7,2,FALSE),"未登记")</f>
        <v/>
      </c>
      <c r="H8" s="3">
        <f>IFS(D8&gt;=100,"大批量",D8&gt;=50,"中批量",TRUE,"小批量")</f>
        <v/>
      </c>
      <c r="I8" s="3">
        <f>ROUND(SUM($E$4:E8),2)</f>
        <v/>
      </c>
      <c r="J8" s="3">
        <f>IFERROR(INDEX(等级表!$C$2:$C$7,MATCH(A8,等级表!$A$2:$A$7,0)),1)</f>
        <v/>
      </c>
      <c r="K8" s="3">
        <f>ROUND(E8*J8,2)</f>
        <v/>
      </c>
      <c r="L8" s="3">
        <f>IF(C8&gt;=100,"高",IF(C8&gt;=50,"中","低"))</f>
        <v/>
      </c>
    </row>
    <row r="9">
      <c r="A9" s="3" t="inlineStr">
        <is>
          <t>M-06</t>
        </is>
      </c>
      <c r="B9" s="3" t="inlineStr">
        <is>
          <t>PLC 扩展模块 FX2N-16EX</t>
        </is>
      </c>
      <c r="C9" s="4" t="n">
        <v>385</v>
      </c>
      <c r="D9" s="3" t="n">
        <v>12</v>
      </c>
      <c r="E9" s="3">
        <f>ROUND(C9*D9,2)</f>
        <v/>
      </c>
      <c r="F9" s="3">
        <f>ROUND(E9*1.13,2)</f>
        <v/>
      </c>
      <c r="G9" s="3">
        <f>IFERROR(VLOOKUP(A9,等级表!$A$2:$C$7,2,FALSE),"未登记")</f>
        <v/>
      </c>
      <c r="H9" s="3">
        <f>IFS(D9&gt;=100,"大批量",D9&gt;=50,"中批量",TRUE,"小批量")</f>
        <v/>
      </c>
      <c r="I9" s="3">
        <f>ROUND(SUM($E$4:E9),2)</f>
        <v/>
      </c>
      <c r="J9" s="3">
        <f>IFERROR(INDEX(等级表!$C$2:$C$7,MATCH(A9,等级表!$A$2:$A$7,0)),1)</f>
        <v/>
      </c>
      <c r="K9" s="3">
        <f>ROUND(E9*J9,2)</f>
        <v/>
      </c>
      <c r="L9" s="3">
        <f>IF(C9&gt;=100,"高",IF(C9&gt;=50,"中","低"))</f>
        <v/>
      </c>
    </row>
    <row r="10">
      <c r="A10" s="3" t="inlineStr">
        <is>
          <t>M-08</t>
        </is>
      </c>
      <c r="B10" s="3" t="inlineStr">
        <is>
          <t>接近开关 LJ12A3</t>
        </is>
      </c>
      <c r="C10" s="4" t="n">
        <v>42</v>
      </c>
      <c r="D10" s="3" t="n">
        <v>90</v>
      </c>
      <c r="E10" s="3">
        <f>ROUND(C10*D10,2)</f>
        <v/>
      </c>
      <c r="F10" s="3">
        <f>ROUND(E10*1.13,2)</f>
        <v/>
      </c>
      <c r="G10" s="3">
        <f>IFERROR(VLOOKUP(A10,等级表!$A$2:$C$7,2,FALSE),"未登记")</f>
        <v/>
      </c>
      <c r="H10" s="3">
        <f>IFS(D10&gt;=100,"大批量",D10&gt;=50,"中批量",TRUE,"小批量")</f>
        <v/>
      </c>
      <c r="I10" s="3">
        <f>ROUND(SUM($E$4:E10),2)</f>
        <v/>
      </c>
      <c r="J10" s="3">
        <f>IFERROR(INDEX(等级表!$C$2:$C$7,MATCH(A10,等级表!$A$2:$A$7,0)),1)</f>
        <v/>
      </c>
      <c r="K10" s="3">
        <f>ROUND(E10*J10,2)</f>
        <v/>
      </c>
      <c r="L10" s="3">
        <f>IF(C10&gt;=100,"高",IF(C10&gt;=50,"中","低"))</f>
        <v/>
      </c>
    </row>
    <row r="11">
      <c r="A11" s="3" t="inlineStr">
        <is>
          <t>M-09</t>
        </is>
      </c>
      <c r="B11" s="3" t="inlineStr">
        <is>
          <t>变频器 VFD-M 2.2KW</t>
        </is>
      </c>
      <c r="C11" s="4" t="n">
        <v>1560</v>
      </c>
      <c r="D11" s="3" t="n">
        <v>6</v>
      </c>
      <c r="E11" s="3">
        <f>ROUND(C11*D11,2)</f>
        <v/>
      </c>
      <c r="F11" s="3">
        <f>ROUND(E11*1.13,2)</f>
        <v/>
      </c>
      <c r="G11" s="3">
        <f>IFERROR(VLOOKUP(A11,等级表!$A$2:$C$7,2,FALSE),"未登记")</f>
        <v/>
      </c>
      <c r="H11" s="3">
        <f>IFS(D11&gt;=100,"大批量",D11&gt;=50,"中批量",TRUE,"小批量")</f>
        <v/>
      </c>
      <c r="I11" s="3">
        <f>ROUND(SUM($E$4:E11),2)</f>
        <v/>
      </c>
      <c r="J11" s="3">
        <f>IFERROR(INDEX(等级表!$C$2:$C$7,MATCH(A11,等级表!$A$2:$A$7,0)),1)</f>
        <v/>
      </c>
      <c r="K11" s="3">
        <f>ROUND(E11*J11,2)</f>
        <v/>
      </c>
      <c r="L11" s="3">
        <f>IF(C11&gt;=100,"高",IF(C11&gt;=50,"中","低"))</f>
        <v/>
      </c>
    </row>
    <row r="12">
      <c r="A12" s="3" t="inlineStr">
        <is>
          <t>M-10</t>
        </is>
      </c>
      <c r="B12" s="3" t="inlineStr">
        <is>
          <t>耐油橡胶垫 3mm</t>
        </is>
      </c>
      <c r="C12" s="4" t="n">
        <v>15.5</v>
      </c>
      <c r="D12" s="3" t="n">
        <v>200</v>
      </c>
      <c r="E12" s="3">
        <f>ROUND(C12*D12,2)</f>
        <v/>
      </c>
      <c r="F12" s="3">
        <f>ROUND(E12*1.13,2)</f>
        <v/>
      </c>
      <c r="G12" s="3">
        <f>IFERROR(VLOOKUP(A12,等级表!$A$2:$C$7,2,FALSE),"未登记")</f>
        <v/>
      </c>
      <c r="H12" s="3">
        <f>IFS(D12&gt;=100,"大批量",D12&gt;=50,"中批量",TRUE,"小批量")</f>
        <v/>
      </c>
      <c r="I12" s="3">
        <f>ROUND(SUM($E$4:E12),2)</f>
        <v/>
      </c>
      <c r="J12" s="3">
        <f>IFERROR(INDEX(等级表!$C$2:$C$7,MATCH(A12,等级表!$A$2:$A$7,0)),1)</f>
        <v/>
      </c>
      <c r="K12" s="3">
        <f>ROUND(E12*J12,2)</f>
        <v/>
      </c>
      <c r="L12" s="3">
        <f>IF(C12&gt;=100,"高",IF(C12&gt;=50,"中","低"))</f>
        <v/>
      </c>
    </row>
    <row r="13">
      <c r="A13" s="3" t="inlineStr">
        <is>
          <t>M-12</t>
        </is>
      </c>
      <c r="B13" s="3" t="inlineStr">
        <is>
          <t>时间继电器 ST3PA-B</t>
        </is>
      </c>
      <c r="C13" s="4" t="n">
        <v>68</v>
      </c>
      <c r="D13" s="3" t="n">
        <v>45</v>
      </c>
      <c r="E13" s="3">
        <f>ROUND(C13*D13,2)</f>
        <v/>
      </c>
      <c r="F13" s="3">
        <f>ROUND(E13*1.13,2)</f>
        <v/>
      </c>
      <c r="G13" s="3">
        <f>IFERROR(VLOOKUP(A13,等级表!$A$2:$C$7,2,FALSE),"未登记")</f>
        <v/>
      </c>
      <c r="H13" s="3">
        <f>IFS(D13&gt;=100,"大批量",D13&gt;=50,"中批量",TRUE,"小批量")</f>
        <v/>
      </c>
      <c r="I13" s="3">
        <f>ROUND(SUM($E$4:E13),2)</f>
        <v/>
      </c>
      <c r="J13" s="3">
        <f>IFERROR(INDEX(等级表!$C$2:$C$7,MATCH(A13,等级表!$A$2:$A$7,0)),1)</f>
        <v/>
      </c>
      <c r="K13" s="3">
        <f>ROUND(E13*J13,2)</f>
        <v/>
      </c>
      <c r="L13" s="3">
        <f>IF(C13&gt;=100,"高",IF(C13&gt;=50,"中","低"))</f>
        <v/>
      </c>
    </row>
    <row r="15">
      <c r="A15" s="5" t="inlineStr">
        <is>
          <t>金额合计</t>
        </is>
      </c>
      <c r="C15">
        <f>ROUND(SUM(E4:E13),2)</f>
        <v/>
      </c>
    </row>
    <row r="16">
      <c r="A16" s="5" t="inlineStr">
        <is>
          <t>含税合计</t>
        </is>
      </c>
      <c r="C16">
        <f>ROUND(SUM(F4:F13),2)</f>
        <v/>
      </c>
    </row>
    <row r="17">
      <c r="A17" s="5" t="inlineStr">
        <is>
          <t>平均单价</t>
        </is>
      </c>
      <c r="C17">
        <f>ROUND(AVERAGE(C4:C13),2)</f>
        <v/>
      </c>
    </row>
    <row r="18">
      <c r="A18" s="5" t="inlineStr">
        <is>
          <t>最大/最小金额</t>
        </is>
      </c>
      <c r="C18">
        <f>ROUND(MAX(E4:E13)-MIN(E4:E13),2)</f>
        <v/>
      </c>
    </row>
    <row r="19">
      <c r="A19" s="5" t="inlineStr">
        <is>
          <t>金额中位数</t>
        </is>
      </c>
      <c r="C19">
        <f>ROUND(MEDIAN(E4:E13),2)</f>
        <v/>
      </c>
    </row>
    <row r="20">
      <c r="A20" s="5" t="inlineStr">
        <is>
          <t>加权平均单价(SUMPRODUCT)</t>
        </is>
      </c>
      <c r="C20">
        <f>ROUND(SUMPRODUCT(C4:C13,D4:D13)/SUM(D4:D13),2)</f>
        <v/>
      </c>
    </row>
    <row r="21">
      <c r="A21" s="5" t="inlineStr">
        <is>
          <t>数量≥50 金额合计(SUMIF)</t>
        </is>
      </c>
      <c r="C21">
        <f>ROUND(SUMIF(D4:D13,"&gt;=50",E4:E13),2)</f>
        <v/>
      </c>
    </row>
    <row r="22">
      <c r="A22" s="5" t="inlineStr">
        <is>
          <t>等级=A 金额合计(SUMIFS)</t>
        </is>
      </c>
      <c r="C22">
        <f>ROUND(SUMIFS(E4:E13,G4:G13,"A"),2)</f>
        <v/>
      </c>
    </row>
    <row r="23">
      <c r="A23" s="5" t="inlineStr">
        <is>
          <t>等级=A 平均金额(AVERAGEIFS)</t>
        </is>
      </c>
      <c r="C23">
        <f>ROUND(AVERAGEIFS(E4:E13,G4:G13,"A"),2)</f>
        <v/>
      </c>
    </row>
    <row r="24">
      <c r="A24" s="5" t="inlineStr">
        <is>
          <t>最大单笔(MAXIFS)</t>
        </is>
      </c>
      <c r="C24">
        <f>MAXIFS(E4:E13,D4:D13,"&gt;=50")</f>
        <v/>
      </c>
    </row>
    <row r="25">
      <c r="A25" s="5" t="inlineStr">
        <is>
          <t>最小单笔(MINIFS)</t>
        </is>
      </c>
      <c r="C25">
        <f>MINIFS(E4:E13,D4:D13,"&gt;=50")</f>
        <v/>
      </c>
    </row>
    <row r="26">
      <c r="A26" s="5" t="inlineStr">
        <is>
          <t>第 2 高金额(LARGE)</t>
        </is>
      </c>
      <c r="C26">
        <f>LARGE(E4:E13,2)</f>
        <v/>
      </c>
    </row>
    <row r="27">
      <c r="A27" s="5" t="inlineStr">
        <is>
          <t>第 3 低金额(SMALL)</t>
        </is>
      </c>
      <c r="C27">
        <f>SMALL(E4:E13,3)</f>
        <v/>
      </c>
    </row>
    <row r="28">
      <c r="A28" s="5" t="inlineStr">
        <is>
          <t>M-05 金额排名(RANK)</t>
        </is>
      </c>
      <c r="C28">
        <f>RANK(INDEX(E4:E13,MATCH("M-05",A4:A13,0)),E4:E13)</f>
        <v/>
      </c>
    </row>
    <row r="29">
      <c r="A29" s="5" t="inlineStr">
        <is>
          <t>金额标准差(STDEV)</t>
        </is>
      </c>
      <c r="C29">
        <f>ROUND(STDEV(E4:E13),2)</f>
        <v/>
      </c>
    </row>
    <row r="30">
      <c r="A30" s="5" t="inlineStr">
        <is>
          <t>90 分位(PERCENTILE)</t>
        </is>
      </c>
      <c r="C30">
        <f>ROUND(PERCENTILE(E4:E13,0.9),2)</f>
        <v/>
      </c>
    </row>
    <row r="31">
      <c r="A31" s="5" t="inlineStr">
        <is>
          <t>单价&gt;50 种类(COUNTIF)</t>
        </is>
      </c>
      <c r="C31">
        <f>COUNTIF(C4:C13,"&gt;50")</f>
        <v/>
      </c>
    </row>
    <row r="32">
      <c r="A32" s="5" t="inlineStr">
        <is>
          <t>非 A 级数量(COUNTIF &lt;&gt;)</t>
        </is>
      </c>
      <c r="C32">
        <f>COUNTIF(G4:G13,"&lt;&gt;A")</f>
        <v/>
      </c>
    </row>
    <row r="33">
      <c r="A33" s="5" t="inlineStr">
        <is>
          <t>M-07 名称(XLOOKUP 默认值)</t>
        </is>
      </c>
      <c r="C33">
        <f>XLOOKUP("M-07",A4:A13,B4:B13,"无此物料")</f>
        <v/>
      </c>
    </row>
    <row r="34">
      <c r="A34" s="5" t="inlineStr">
        <is>
          <t>M-06 名称(INDEX+MATCH)</t>
        </is>
      </c>
      <c r="C34">
        <f>INDEX(B4:B13,MATCH("M-06",A4:A13,0))</f>
        <v/>
      </c>
    </row>
    <row r="35">
      <c r="A35" s="5" t="inlineStr">
        <is>
          <t>前 5 行金额(SUM+OFFSET)</t>
        </is>
      </c>
      <c r="C35">
        <f>ROUND(SUM(OFFSET(E4,0,0,5,1)),2)</f>
        <v/>
      </c>
    </row>
    <row r="36">
      <c r="A36" s="5" t="inlineStr">
        <is>
          <t>明细行数(ROWS)</t>
        </is>
      </c>
      <c r="C36">
        <f>ROWS(A4:A13)</f>
        <v/>
      </c>
    </row>
    <row r="37">
      <c r="A37" s="5" t="inlineStr">
        <is>
          <t>月供测算(PMT)</t>
        </is>
      </c>
      <c r="C37">
        <f>ROUND(PMT(0.05/12,36,60000),2)</f>
        <v/>
      </c>
    </row>
    <row r="38">
      <c r="A38" s="5" t="inlineStr">
        <is>
          <t>前 4 笔净现值(NPV)</t>
        </is>
      </c>
      <c r="C38">
        <f>ROUND(NPV(0.08,E4:E7),2)</f>
        <v/>
      </c>
    </row>
    <row r="39">
      <c r="A39" s="5" t="inlineStr">
        <is>
          <t>月份文本(TEXT)</t>
        </is>
      </c>
      <c r="C39">
        <f>TEXT(DATE(2025,3,1),"yyyy年m月")</f>
        <v/>
      </c>
    </row>
    <row r="40">
      <c r="A40" s="5" t="inlineStr">
        <is>
          <t>除零兜底(IFERROR)</t>
        </is>
      </c>
      <c r="C40">
        <f>IFERROR(1/0,"已兜底")</f>
        <v/>
      </c>
    </row>
    <row r="41">
      <c r="A41" s="5" t="inlineStr">
        <is>
          <t>查无编码(IFNA)</t>
        </is>
      </c>
      <c r="C41">
        <f>IFNA(VLOOKUP("M-99",A4:C13,2,FALSE),"查无编码")</f>
        <v/>
      </c>
    </row>
  </sheetData>
  <mergeCells count="29">
    <mergeCell ref="A24:B24"/>
    <mergeCell ref="A30:B30"/>
    <mergeCell ref="A15:B15"/>
    <mergeCell ref="A36:B36"/>
    <mergeCell ref="A2:L2"/>
    <mergeCell ref="A16:B16"/>
    <mergeCell ref="A25:B25"/>
    <mergeCell ref="A41:B41"/>
    <mergeCell ref="A37:B37"/>
    <mergeCell ref="A18:B18"/>
    <mergeCell ref="A27:B27"/>
    <mergeCell ref="A26:B26"/>
    <mergeCell ref="A21:B21"/>
    <mergeCell ref="A33:B33"/>
    <mergeCell ref="A32:B32"/>
    <mergeCell ref="A23:B23"/>
    <mergeCell ref="A17:B17"/>
    <mergeCell ref="A22:B22"/>
    <mergeCell ref="A35:B35"/>
    <mergeCell ref="A20:B20"/>
    <mergeCell ref="A38:B38"/>
    <mergeCell ref="A29:B29"/>
    <mergeCell ref="A19:B19"/>
    <mergeCell ref="A1:L1"/>
    <mergeCell ref="A28:B28"/>
    <mergeCell ref="A40:B40"/>
    <mergeCell ref="A31:B31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2" t="inlineStr">
        <is>
          <t>物料编码</t>
        </is>
      </c>
      <c r="B1" s="2" t="inlineStr">
        <is>
          <t>等级</t>
        </is>
      </c>
      <c r="C1" s="2" t="inlineStr">
        <is>
          <t>折扣</t>
        </is>
      </c>
    </row>
    <row r="2">
      <c r="A2" t="inlineStr">
        <is>
          <t>M-01</t>
        </is>
      </c>
      <c r="B2" t="inlineStr">
        <is>
          <t>A</t>
        </is>
      </c>
      <c r="C2" t="n">
        <v>0.97</v>
      </c>
    </row>
    <row r="3">
      <c r="A3" t="inlineStr">
        <is>
          <t>M-02</t>
        </is>
      </c>
      <c r="B3" t="inlineStr">
        <is>
          <t>B</t>
        </is>
      </c>
      <c r="C3" t="n">
        <v>1</v>
      </c>
    </row>
    <row r="4">
      <c r="A4" t="inlineStr">
        <is>
          <t>M-03</t>
        </is>
      </c>
      <c r="B4" t="inlineStr">
        <is>
          <t>B</t>
        </is>
      </c>
      <c r="C4" t="n">
        <v>1</v>
      </c>
    </row>
    <row r="5">
      <c r="A5" t="inlineStr">
        <is>
          <t>M-04</t>
        </is>
      </c>
      <c r="B5" t="inlineStr">
        <is>
          <t>C</t>
        </is>
      </c>
      <c r="C5" t="n">
        <v>1.05</v>
      </c>
    </row>
    <row r="6">
      <c r="A6" t="inlineStr">
        <is>
          <t>M-05</t>
        </is>
      </c>
      <c r="B6" t="inlineStr">
        <is>
          <t>A</t>
        </is>
      </c>
      <c r="C6" t="n">
        <v>0.95</v>
      </c>
    </row>
    <row r="7">
      <c r="A7" t="inlineStr">
        <is>
          <t>M-06</t>
        </is>
      </c>
      <c r="B7" t="inlineStr">
        <is>
          <t>A</t>
        </is>
      </c>
      <c r="C7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</cols>
  <sheetData>
    <row r="1">
      <c r="A1" s="2" t="inlineStr">
        <is>
          <t>项目</t>
        </is>
      </c>
      <c r="B1" s="2" t="inlineStr">
        <is>
          <t>值</t>
        </is>
      </c>
      <c r="C1" s="2" t="inlineStr">
        <is>
          <t>备注</t>
        </is>
      </c>
    </row>
    <row r="2">
      <c r="A2" t="inlineStr">
        <is>
          <t>合同起始日</t>
        </is>
      </c>
      <c r="B2" s="6" t="n">
        <v>45733</v>
      </c>
    </row>
    <row r="3">
      <c r="A3" t="inlineStr">
        <is>
          <t>合同到期日</t>
        </is>
      </c>
      <c r="B3" s="6" t="n">
        <v>46053</v>
      </c>
    </row>
    <row r="4">
      <c r="A4" t="inlineStr">
        <is>
          <t>合同天数(DAYS)</t>
        </is>
      </c>
      <c r="B4">
        <f>DAYS(B3,B2)</f>
        <v/>
      </c>
      <c r="C4" t="inlineStr">
        <is>
          <t>日历天数</t>
        </is>
      </c>
    </row>
    <row r="5">
      <c r="A5" t="inlineStr">
        <is>
          <t>工作日数(NETWORKDAYS)</t>
        </is>
      </c>
      <c r="B5">
        <f>NETWORKDAYS(B2,B3)</f>
        <v/>
      </c>
      <c r="C5" t="inlineStr">
        <is>
          <t>排除周末</t>
        </is>
      </c>
    </row>
    <row r="6">
      <c r="A6" t="inlineStr">
        <is>
          <t>3 个月后月末(EOMONTH)</t>
        </is>
      </c>
      <c r="B6" s="6">
        <f>EOMONTH(B2,3)</f>
        <v/>
      </c>
      <c r="C6" t="inlineStr">
        <is>
          <t>日期序列</t>
        </is>
      </c>
    </row>
    <row r="7">
      <c r="A7" t="inlineStr">
        <is>
          <t>到期前 45 个工作日(WORKDAY)</t>
        </is>
      </c>
      <c r="B7" s="6">
        <f>WORKDAY(B2,45)</f>
        <v/>
      </c>
      <c r="C7" t="inlineStr">
        <is>
          <t>工期推算</t>
        </is>
      </c>
    </row>
    <row r="8">
      <c r="A8" t="inlineStr">
        <is>
          <t>已执行年数(DATEDIF Y)</t>
        </is>
      </c>
      <c r="B8">
        <f>DATEDIF(B2,B3,"Y")</f>
        <v/>
      </c>
      <c r="C8" t="inlineStr">
        <is>
          <t>整年</t>
        </is>
      </c>
    </row>
    <row r="9">
      <c r="A9" t="inlineStr">
        <is>
          <t>已执行月数(DATEDIF M)</t>
        </is>
      </c>
      <c r="B9">
        <f>DATEDIF(B2,B3,"M")</f>
        <v/>
      </c>
      <c r="C9" t="inlineStr">
        <is>
          <t>整月</t>
        </is>
      </c>
    </row>
    <row r="10">
      <c r="A10" t="inlineStr">
        <is>
          <t>起始年份(YEAR)</t>
        </is>
      </c>
      <c r="B10">
        <f>YEAR(B2)</f>
        <v/>
      </c>
    </row>
    <row r="11">
      <c r="A11" t="inlineStr">
        <is>
          <t>起始月份(MONTH)</t>
        </is>
      </c>
      <c r="B11">
        <f>MONTH(B2)</f>
        <v/>
      </c>
    </row>
    <row r="12">
      <c r="A12" t="inlineStr">
        <is>
          <t>起始日(WEEKDAY)</t>
        </is>
      </c>
      <c r="B12">
        <f>WEEKDAY(B2,2)</f>
        <v/>
      </c>
      <c r="C12" t="inlineStr">
        <is>
          <t>周一=1</t>
        </is>
      </c>
    </row>
    <row r="13">
      <c r="A13" t="inlineStr">
        <is>
          <t>月份文本(TEXT)</t>
        </is>
      </c>
      <c r="B13">
        <f>TEXT(B2,"yyyy年m月")</f>
        <v/>
      </c>
    </row>
    <row r="14">
      <c r="A14" t="inlineStr">
        <is>
          <t>拼接(TEXTJOIN)</t>
        </is>
      </c>
      <c r="B14">
        <f>TEXTJOIN("-",TRUE,"合同",B4,"天")</f>
        <v/>
      </c>
    </row>
    <row r="15">
      <c r="A15" t="inlineStr">
        <is>
          <t>金额平方和(SUMSQ)</t>
        </is>
      </c>
      <c r="B15">
        <f>ROUND(SUMSQ(物料台账!E4:E13),2)</f>
        <v/>
      </c>
    </row>
    <row r="16">
      <c r="A16" t="inlineStr">
        <is>
          <t>单价几何均值(GEOMEAN 不支持→SQRT)</t>
        </is>
      </c>
      <c r="B16">
        <f>ROUND(SQRT(PRODUCT(物料台账!C4:C6)),2)</f>
        <v/>
      </c>
      <c r="C16" t="inlineStr">
        <is>
          <t>乘积开方</t>
        </is>
      </c>
    </row>
    <row r="17">
      <c r="A17" t="inlineStr">
        <is>
          <t>金额取整(CEILING)</t>
        </is>
      </c>
      <c r="B17">
        <f>CEILING(物料台账!E4,10)</f>
        <v/>
      </c>
    </row>
    <row r="18">
      <c r="A18" t="inlineStr">
        <is>
          <t>金额截断(TRUNC)</t>
        </is>
      </c>
      <c r="B18">
        <f>TRUNC(物料台账!E4,0)</f>
        <v/>
      </c>
    </row>
    <row r="19">
      <c r="A19" t="inlineStr">
        <is>
          <t>单价四舍五入到角(MROUND)</t>
        </is>
      </c>
      <c r="B19">
        <f>MROUND(物料台账!C5,0.1)</f>
        <v/>
      </c>
    </row>
    <row r="20">
      <c r="A20" t="inlineStr">
        <is>
          <t>金额符号(SIGN)</t>
        </is>
      </c>
      <c r="B20">
        <f>SIGN(物料台账!E4-1000)</f>
        <v/>
      </c>
      <c r="C20" t="inlineStr">
        <is>
          <t>正=1 负=-1</t>
        </is>
      </c>
    </row>
    <row r="21">
      <c r="A21" t="inlineStr">
        <is>
          <t>编号示例(REPT/PROPER)</t>
        </is>
      </c>
      <c r="B21">
        <f>PROPER("no.")&amp;REPT("0",3)&amp;"7"</f>
        <v/>
      </c>
    </row>
    <row r="22">
      <c r="A22" t="inlineStr">
        <is>
          <t>查字符(CHAR 65)</t>
        </is>
      </c>
      <c r="B22">
        <f>CHAR(65)</f>
        <v/>
      </c>
    </row>
    <row r="23">
      <c r="A23" t="inlineStr">
        <is>
          <t>字符码(CODE A)</t>
        </is>
      </c>
      <c r="B23">
        <f>CODE("A")</f>
        <v/>
      </c>
    </row>
    <row r="24">
      <c r="A24" t="inlineStr">
        <is>
          <t>文本转数值(VALUE)</t>
        </is>
      </c>
      <c r="B24">
        <f>VALUE("¥1,234.50")</f>
        <v/>
      </c>
    </row>
    <row r="25">
      <c r="A25" t="inlineStr">
        <is>
          <t>首段文本(FIND/LEFT)</t>
        </is>
      </c>
      <c r="B25">
        <f>LEFT(物料台账!B4,FIND(" ",物料台账!B4)-1)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本文件由 openpyxl 生成, 公式无缓存值 —— 用于验证 office rag prep 的内置求值器。</t>
        </is>
      </c>
    </row>
    <row r="2">
      <c r="A2" t="inlineStr">
        <is>
          <t>数组表达式(如 SUMPRODUCT((条件)*(区域)))不在支持范围, 预期记为 formula_unresolved。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2026-09-10T01:53:07Z</dcterms:created>
  <dcterms:modified xmlns:dcterms="http://purl.org/dc/terms/" xmlns:xsi="http://www.w3.org/2001/XMLSchema-instance" xsi:type="dcterms:W3CDTF">2026-09-10T01:53:07Z</dcterms:modified>
</cp:coreProperties>
</file>